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9660" activeTab="2"/>
  </bookViews>
  <sheets>
    <sheet name="数据集构成统计表" sheetId="1" r:id="rId1"/>
    <sheet name="鞭毛虫序列详细列表" sheetId="2" r:id="rId2"/>
    <sheet name="信号肽预测结果" sheetId="3" r:id="rId3"/>
    <sheet name="结构域架构比较" sheetId="4" r:id="rId4"/>
    <sheet name="BUSTED 选择压力分析结果" sheetId="5" r:id="rId5"/>
    <sheet name="正选择位点氨基酸分布矩阵" sheetId="6" r:id="rId6"/>
    <sheet name="序列相似性网络统计" sheetId="7" r:id="rId7"/>
    <sheet name="软件与参数汇总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<sst xmlns="http://schemas.openxmlformats.org/spreadsheetml/2006/main" count="401" uniqueCount="184">
  <si>
    <t>类群</t>
  </si>
  <si>
    <t>序列数</t>
  </si>
  <si>
    <t>鞭毛虫共生菌 (Parabasalia)</t>
  </si>
  <si>
    <t>细菌 (Bacteria)</t>
  </si>
  <si>
    <t>真菌 (Fungi)</t>
  </si>
  <si>
    <t>其他真核生物 (Other)</t>
  </si>
  <si>
    <t>合计</t>
  </si>
  <si>
    <t>登录号</t>
  </si>
  <si>
    <t>物种名</t>
  </si>
  <si>
    <t>宿主白蚁</t>
  </si>
  <si>
    <t>长度 (aa)</t>
  </si>
  <si>
    <t>BAB64565.3</t>
  </si>
  <si>
    <t>Holomastigotoides mirabile</t>
  </si>
  <si>
    <t>—</t>
  </si>
  <si>
    <t>BAB64564.2</t>
  </si>
  <si>
    <t>BAB64563.2</t>
  </si>
  <si>
    <t>BAB64562.1</t>
  </si>
  <si>
    <t>Pseudotrichonympha grassii</t>
  </si>
  <si>
    <t>BAB64561.1</t>
  </si>
  <si>
    <t>BAB64560.1</t>
  </si>
  <si>
    <t>BAB64559.1</t>
  </si>
  <si>
    <t>BAB64557.1</t>
  </si>
  <si>
    <t>BAB64555.1</t>
  </si>
  <si>
    <t>BAB64554.1</t>
  </si>
  <si>
    <t>BAB64553.1</t>
  </si>
  <si>
    <t>AAY83390.3</t>
  </si>
  <si>
    <r>
      <t>Reticulitermes flavipes</t>
    </r>
    <r>
      <rPr>
        <sz val="11.25"/>
        <color rgb="FF0F1115"/>
        <rFont val="宋体"/>
        <charset val="134"/>
        <scheme val="minor"/>
      </rPr>
      <t> gut symbiont cell-2</t>
    </r>
  </si>
  <si>
    <t>黄胸散白蚁</t>
  </si>
  <si>
    <t>AAY83391.1</t>
  </si>
  <si>
    <r>
      <t>Reticulitermes flavipes</t>
    </r>
    <r>
      <rPr>
        <sz val="11.25"/>
        <color rgb="FF0F1115"/>
        <rFont val="宋体"/>
        <charset val="134"/>
        <scheme val="minor"/>
      </rPr>
      <t> gut symbiont cell-3</t>
    </r>
  </si>
  <si>
    <t>BAB64558.1</t>
  </si>
  <si>
    <t>BAB64556.1</t>
  </si>
  <si>
    <t>BAC07552.1</t>
  </si>
  <si>
    <r>
      <t>Coptotermes lacteus</t>
    </r>
    <r>
      <rPr>
        <sz val="11.25"/>
        <color rgb="FF0F1115"/>
        <rFont val="宋体"/>
        <charset val="134"/>
        <scheme val="minor"/>
      </rPr>
      <t> symbiont WH2002</t>
    </r>
  </si>
  <si>
    <t>乳白蚁</t>
  </si>
  <si>
    <t>BAC07551.1</t>
  </si>
  <si>
    <t>物种</t>
  </si>
  <si>
    <t>信号肽</t>
  </si>
  <si>
    <t>切割位点</t>
  </si>
  <si>
    <t>拓扑结构</t>
  </si>
  <si>
    <t>Yes</t>
  </si>
  <si>
    <t>11–12</t>
  </si>
  <si>
    <t>Non-cytoplasmic</t>
  </si>
  <si>
    <r>
      <t>Reticulitermes flavipes</t>
    </r>
    <r>
      <rPr>
        <sz val="11.25"/>
        <color theme="1"/>
        <rFont val="宋体"/>
        <charset val="134"/>
        <scheme val="minor"/>
      </rPr>
      <t> symbiont cell-2</t>
    </r>
  </si>
  <si>
    <t>15–16</t>
  </si>
  <si>
    <t>No</t>
  </si>
  <si>
    <r>
      <t>Reticulitermes flavipes</t>
    </r>
    <r>
      <rPr>
        <sz val="11.25"/>
        <color theme="1"/>
        <rFont val="宋体"/>
        <charset val="134"/>
        <scheme val="minor"/>
      </rPr>
      <t> symbiont cell-3</t>
    </r>
  </si>
  <si>
    <r>
      <t>Coptotermes lacteus</t>
    </r>
    <r>
      <rPr>
        <sz val="11.25"/>
        <color theme="1"/>
        <rFont val="宋体"/>
        <charset val="134"/>
        <scheme val="minor"/>
      </rPr>
      <t> symbiont WH2002</t>
    </r>
  </si>
  <si>
    <r>
      <t>汇总</t>
    </r>
    <r>
      <rPr>
        <sz val="12"/>
        <color rgb="FF0F1115"/>
        <rFont val="宋体"/>
        <charset val="134"/>
        <scheme val="minor"/>
      </rPr>
      <t>：</t>
    </r>
  </si>
  <si>
    <t>信号肽 (Yes/Total)</t>
  </si>
  <si>
    <t>3/3</t>
  </si>
  <si>
    <t>0/10</t>
  </si>
  <si>
    <r>
      <t>Reticulitermes flavipes</t>
    </r>
    <r>
      <rPr>
        <sz val="11.25"/>
        <color theme="1"/>
        <rFont val="宋体"/>
        <charset val="134"/>
        <scheme val="minor"/>
      </rPr>
      <t> symbiont</t>
    </r>
  </si>
  <si>
    <t>1/2</t>
  </si>
  <si>
    <r>
      <t>Coptotermes lacteus</t>
    </r>
    <r>
      <rPr>
        <sz val="11.25"/>
        <color theme="1"/>
        <rFont val="宋体"/>
        <charset val="134"/>
        <scheme val="minor"/>
      </rPr>
      <t> symbiont</t>
    </r>
  </si>
  <si>
    <t>0/2</t>
  </si>
  <si>
    <t>物种类型</t>
  </si>
  <si>
    <t>代表登录号</t>
  </si>
  <si>
    <t>GH7 催化域位置</t>
  </si>
  <si>
    <t>CBM</t>
  </si>
  <si>
    <t>其他结构域</t>
  </si>
  <si>
    <t>鞭毛虫</t>
  </si>
  <si>
    <t>11–320 aa</t>
  </si>
  <si>
    <t>无</t>
  </si>
  <si>
    <t>细菌</t>
  </si>
  <si>
    <t>WP_222674038.1</t>
  </si>
  <si>
    <t>2–384 aa</t>
  </si>
  <si>
    <t>真菌</t>
  </si>
  <si>
    <t>XP_006965674.1</t>
  </si>
  <si>
    <t>30–387 aa</t>
  </si>
  <si>
    <t>CBM1 (429–457 aa)</t>
  </si>
  <si>
    <t>连接肽</t>
  </si>
  <si>
    <t>指标</t>
  </si>
  <si>
    <t>数值</t>
  </si>
  <si>
    <t>分析方法</t>
  </si>
  <si>
    <t>BUSTED v4.6</t>
  </si>
  <si>
    <t>测试分支数</t>
  </si>
  <si>
    <t>17（全部鞭毛虫序列）</t>
  </si>
  <si>
    <t>密码子位点数</t>
  </si>
  <si>
    <t>模型</t>
  </si>
  <si>
    <t>Universal code, 无 SRV</t>
  </si>
  <si>
    <t>p-value</t>
  </si>
  <si>
    <t>结论</t>
  </si>
  <si>
    <t>存在显著的正选择信号</t>
  </si>
  <si>
    <t>正选择位点数 (ER ≥ 10)</t>
  </si>
  <si>
    <t>贡献最大的位点</t>
  </si>
  <si>
    <t>58, 184, 225, 312, 411</t>
  </si>
  <si>
    <t>位点58</t>
  </si>
  <si>
    <t>位点184</t>
  </si>
  <si>
    <t>位点225</t>
  </si>
  <si>
    <t>位点312</t>
  </si>
  <si>
    <t>位点411</t>
  </si>
  <si>
    <t>物种组</t>
  </si>
  <si>
    <t>I</t>
  </si>
  <si>
    <t>Y</t>
  </si>
  <si>
    <t>E</t>
  </si>
  <si>
    <t>K</t>
  </si>
  <si>
    <t>N</t>
  </si>
  <si>
    <t>Holomastigotoides</t>
  </si>
  <si>
    <t>–</t>
  </si>
  <si>
    <t>V</t>
  </si>
  <si>
    <t>C</t>
  </si>
  <si>
    <t>D</t>
  </si>
  <si>
    <t>Pseudotrichonympha</t>
  </si>
  <si>
    <t>R</t>
  </si>
  <si>
    <t>P</t>
  </si>
  <si>
    <t>W</t>
  </si>
  <si>
    <t>M</t>
  </si>
  <si>
    <t>T</t>
  </si>
  <si>
    <r>
      <t>Reticulitermes</t>
    </r>
    <r>
      <rPr>
        <sz val="11.25"/>
        <color rgb="FF0F1115"/>
        <rFont val="宋体"/>
        <charset val="134"/>
        <scheme val="minor"/>
      </rPr>
      <t> cell-2</t>
    </r>
  </si>
  <si>
    <r>
      <t>Reticulitermes</t>
    </r>
    <r>
      <rPr>
        <sz val="11.25"/>
        <color rgb="FF0F1115"/>
        <rFont val="宋体"/>
        <charset val="134"/>
        <scheme val="minor"/>
      </rPr>
      <t> cell-3</t>
    </r>
  </si>
  <si>
    <t>Coptotermes</t>
  </si>
  <si>
    <t>F</t>
  </si>
  <si>
    <t>AGT15838.1</t>
  </si>
  <si>
    <t>G</t>
  </si>
  <si>
    <t>S</t>
  </si>
  <si>
    <t>真菌（背景）</t>
  </si>
  <si>
    <t>总节点数</t>
  </si>
  <si>
    <t>总边数（≥40% 相似度）</t>
  </si>
  <si>
    <t>鞭毛虫节点数</t>
  </si>
  <si>
    <t>鞭毛虫-细菌边数</t>
  </si>
  <si>
    <t>0（在此阈值下）</t>
  </si>
  <si>
    <t>鞭毛虫-真菌边数</t>
  </si>
  <si>
    <t>多条</t>
  </si>
  <si>
    <t>主要聚类模块</t>
  </si>
  <si>
    <t>MCODE 可提取</t>
  </si>
  <si>
    <t>分析步骤</t>
  </si>
  <si>
    <t>软件/工具</t>
  </si>
  <si>
    <t>版本</t>
  </si>
  <si>
    <t>关键参数 / Protocol</t>
  </si>
  <si>
    <t>序列检索</t>
  </si>
  <si>
    <t>NCBI Protein Database</t>
  </si>
  <si>
    <t>检索式: (GH7[All Fields] OR "glycoside hydrolase family 7"[All Fields] OR pfam00840[All Fields]) AND (Parabasalia[Organism] OR Trichonympha[Organism] OR Pseudotrichonympha[Organism] OR Holomastigotoides[Organism] OR (termite[All Fields] AND protist[All Fields]))</t>
  </si>
  <si>
    <t>序列去冗余</t>
  </si>
  <si>
    <t>CD-HIT</t>
  </si>
  <si>
    <t>v4.8.1</t>
  </si>
  <si>
    <t>-c 0.95 -n 5 -aL 0.9 -aS 0.9</t>
  </si>
  <si>
    <t>多序列比对</t>
  </si>
  <si>
    <t>MAFFT</t>
  </si>
  <si>
    <t>v7.526</t>
  </si>
  <si>
    <t>--auto --thread 4</t>
  </si>
  <si>
    <t>比对修剪</t>
  </si>
  <si>
    <t>trimAl</t>
  </si>
  <si>
    <t>v1.4</t>
  </si>
  <si>
    <t>系统发育树构建</t>
  </si>
  <si>
    <t>IQ-TREE</t>
  </si>
  <si>
    <t>v3.1.1</t>
  </si>
  <si>
    <t>-m LG+F+I+G4 -bb 1000 -T AUTO</t>
  </si>
  <si>
    <t>分类学注释</t>
  </si>
  <si>
    <t>Python (Bio.Entrez + ete3)</t>
  </si>
  <si>
    <t>通过 NCBI E-utilities 获取 taxid，ete3 本地数据库查询门纲目科</t>
  </si>
  <si>
    <t>树可视化与着色</t>
  </si>
  <si>
    <t>R (ape + openxlsx)</t>
  </si>
  <si>
    <t>读取 .contree 和元数据，按 Phylum 着色，标签替换为物种名，输出 PDF</t>
  </si>
  <si>
    <t>精简树生成</t>
  </si>
  <si>
    <t>R (ape)</t>
  </si>
  <si>
    <t>保留所有鞭毛虫序列 + 近邻分支 + 各门代表，输出 Newick 和 PDF</t>
  </si>
  <si>
    <t>序列相似性网络构建</t>
  </si>
  <si>
    <t>DIAMOND</t>
  </si>
  <si>
    <t>makedb + blastp --very-sensitive -f 6 qseqid sseqid pident</t>
  </si>
  <si>
    <t>网络过滤与格式转换</t>
  </si>
  <si>
    <t>R (igraph)</t>
  </si>
  <si>
    <t>pident ≥ 40% 保留边，输出 GraphML</t>
  </si>
  <si>
    <t>网络可视化</t>
  </si>
  <si>
    <t>Cytoscape</t>
  </si>
  <si>
    <t>conda install -c bioconda trimal -y</t>
  </si>
  <si>
    <t>yFiles Organic Layout，节点按 Phylum 着色，标签为物种名</t>
  </si>
  <si>
    <t>信号肽预测</t>
  </si>
  <si>
    <t>Phobius</t>
  </si>
  <si>
    <t>在线版</t>
  </si>
  <si>
    <t>提交蛋白序列，解析 SIGNAL 和 TOPO_DOM 行</t>
  </si>
  <si>
    <t>保守结构域分析</t>
  </si>
  <si>
    <t>NCBI CD-Search</t>
  </si>
  <si>
    <t>提交蛋白序列，E-value 0.01，记录 pfam00840 及 CBM 位置</t>
  </si>
  <si>
    <t>选择压力分析 (基因水平)</t>
  </si>
  <si>
    <t>BUSTED (Datamonkey)</t>
  </si>
  <si>
    <t>HyPhy v2.5.73</t>
  </si>
  <si>
    <t>Genetic Code: Universal; BUSTED-S: No; 测试分支: 17条鞭毛虫; 背景: AGT15838.1</t>
  </si>
  <si>
    <t>选择压力位点定位</t>
  </si>
  <si>
    <t>BUSTED 位点报告</t>
  </si>
  <si>
    <t>从结果页提取 ER ≥ 10 及贡献最大位点</t>
  </si>
  <si>
    <t>氨基酸矩阵提取</t>
  </si>
  <si>
    <t>Python (Bio.AlignIO)</t>
  </si>
  <si>
    <t>从密码子比对文件中提取指定列密码子并翻译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</si>
</sst>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.25"/>
      <color rgb="FF0F1115"/>
      <name val="宋体"/>
      <charset val="134"/>
      <scheme val="minor"/>
    </font>
    <font>
      <i/>
      <sz val="11.25"/>
      <color rgb="FF0F1115"/>
      <name val="宋体"/>
      <charset val="134"/>
      <scheme val="minor"/>
    </font>
    <font>
      <sz val="11.25"/>
      <color theme="1"/>
      <name val="宋体"/>
      <charset val="134"/>
      <scheme val="minor"/>
    </font>
    <font>
      <i/>
      <sz val="11.25"/>
      <color theme="1"/>
      <name val="宋体"/>
      <charset val="134"/>
      <scheme val="minor"/>
    </font>
    <font>
      <sz val="12"/>
      <color rgb="FF0F111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3" fontId="1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0" fillId="0" borderId="0" xfId="0" applyBorder="1">
      <alignment vertical="center"/>
    </xf>
    <xf numFmtId="49" fontId="3" fillId="0" borderId="1" xfId="0" applyNumberFormat="1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:B6"/>
    </sheetView>
  </sheetViews>
  <sheetFormatPr defaultColWidth="25.7980769230769" defaultRowHeight="44" customHeight="1" outlineLevelRow="5" outlineLevelCol="1"/>
  <cols>
    <col min="1" max="16384" width="25.7980769230769" customWidth="1"/>
  </cols>
  <sheetData>
    <row r="1" customHeight="1" spans="1:2">
      <c r="A1" s="5" t="s">
        <v>0</v>
      </c>
      <c r="B1" s="5" t="s">
        <v>1</v>
      </c>
    </row>
    <row r="2" customHeight="1" spans="1:2">
      <c r="A2" s="6" t="s">
        <v>2</v>
      </c>
      <c r="B2" s="6">
        <v>17</v>
      </c>
    </row>
    <row r="3" customHeight="1" spans="1:2">
      <c r="A3" s="6" t="s">
        <v>3</v>
      </c>
      <c r="B3" s="6">
        <v>5</v>
      </c>
    </row>
    <row r="4" customHeight="1" spans="1:2">
      <c r="A4" s="6" t="s">
        <v>4</v>
      </c>
      <c r="B4" s="6">
        <v>492</v>
      </c>
    </row>
    <row r="5" customHeight="1" spans="1:2">
      <c r="A5" s="6" t="s">
        <v>5</v>
      </c>
      <c r="B5" s="6">
        <v>35</v>
      </c>
    </row>
    <row r="6" customHeight="1" spans="1:2">
      <c r="A6" s="6" t="s">
        <v>6</v>
      </c>
      <c r="B6" s="6">
        <v>549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workbookViewId="0">
      <selection activeCell="B24" sqref="B24"/>
    </sheetView>
  </sheetViews>
  <sheetFormatPr defaultColWidth="32.8461538461538" defaultRowHeight="33" customHeight="1" outlineLevelCol="3"/>
  <cols>
    <col min="1" max="16384" width="32.8461538461538" customWidth="1"/>
  </cols>
  <sheetData>
    <row r="1" customHeight="1" spans="1:4">
      <c r="A1" s="5" t="s">
        <v>7</v>
      </c>
      <c r="B1" s="5" t="s">
        <v>8</v>
      </c>
      <c r="C1" s="5" t="s">
        <v>9</v>
      </c>
      <c r="D1" s="5" t="s">
        <v>10</v>
      </c>
    </row>
    <row r="2" customHeight="1" spans="1:4">
      <c r="A2" s="6" t="s">
        <v>11</v>
      </c>
      <c r="B2" s="8" t="s">
        <v>12</v>
      </c>
      <c r="C2" s="6" t="s">
        <v>13</v>
      </c>
      <c r="D2" s="6">
        <v>327</v>
      </c>
    </row>
    <row r="3" customHeight="1" spans="1:4">
      <c r="A3" s="6" t="s">
        <v>14</v>
      </c>
      <c r="B3" s="8" t="s">
        <v>12</v>
      </c>
      <c r="C3" s="6" t="s">
        <v>13</v>
      </c>
      <c r="D3" s="6">
        <v>327</v>
      </c>
    </row>
    <row r="4" customHeight="1" spans="1:4">
      <c r="A4" s="6" t="s">
        <v>15</v>
      </c>
      <c r="B4" s="8" t="s">
        <v>12</v>
      </c>
      <c r="C4" s="6" t="s">
        <v>13</v>
      </c>
      <c r="D4" s="6">
        <v>327</v>
      </c>
    </row>
    <row r="5" customHeight="1" spans="1:4">
      <c r="A5" s="6" t="s">
        <v>16</v>
      </c>
      <c r="B5" s="8" t="s">
        <v>17</v>
      </c>
      <c r="C5" s="6" t="s">
        <v>13</v>
      </c>
      <c r="D5" s="6">
        <v>319</v>
      </c>
    </row>
    <row r="6" customHeight="1" spans="1:4">
      <c r="A6" s="6" t="s">
        <v>18</v>
      </c>
      <c r="B6" s="8" t="s">
        <v>17</v>
      </c>
      <c r="C6" s="6" t="s">
        <v>13</v>
      </c>
      <c r="D6" s="6">
        <v>319</v>
      </c>
    </row>
    <row r="7" customHeight="1" spans="1:4">
      <c r="A7" s="6" t="s">
        <v>19</v>
      </c>
      <c r="B7" s="8" t="s">
        <v>17</v>
      </c>
      <c r="C7" s="6" t="s">
        <v>13</v>
      </c>
      <c r="D7" s="6">
        <v>319</v>
      </c>
    </row>
    <row r="8" customHeight="1" spans="1:4">
      <c r="A8" s="6" t="s">
        <v>20</v>
      </c>
      <c r="B8" s="8" t="s">
        <v>17</v>
      </c>
      <c r="C8" s="6" t="s">
        <v>13</v>
      </c>
      <c r="D8" s="6">
        <v>319</v>
      </c>
    </row>
    <row r="9" customHeight="1" spans="1:4">
      <c r="A9" s="6" t="s">
        <v>21</v>
      </c>
      <c r="B9" s="8" t="s">
        <v>17</v>
      </c>
      <c r="C9" s="6" t="s">
        <v>13</v>
      </c>
      <c r="D9" s="6">
        <v>319</v>
      </c>
    </row>
    <row r="10" customHeight="1" spans="1:4">
      <c r="A10" s="6" t="s">
        <v>22</v>
      </c>
      <c r="B10" s="8" t="s">
        <v>17</v>
      </c>
      <c r="C10" s="6" t="s">
        <v>13</v>
      </c>
      <c r="D10" s="6">
        <v>319</v>
      </c>
    </row>
    <row r="11" customHeight="1" spans="1:4">
      <c r="A11" s="6" t="s">
        <v>23</v>
      </c>
      <c r="B11" s="8" t="s">
        <v>17</v>
      </c>
      <c r="C11" s="6" t="s">
        <v>13</v>
      </c>
      <c r="D11" s="6">
        <v>319</v>
      </c>
    </row>
    <row r="12" customHeight="1" spans="1:4">
      <c r="A12" s="6" t="s">
        <v>24</v>
      </c>
      <c r="B12" s="8" t="s">
        <v>17</v>
      </c>
      <c r="C12" s="6" t="s">
        <v>13</v>
      </c>
      <c r="D12" s="6">
        <v>329</v>
      </c>
    </row>
    <row r="13" customHeight="1" spans="1:4">
      <c r="A13" s="6" t="s">
        <v>25</v>
      </c>
      <c r="B13" s="8" t="s">
        <v>26</v>
      </c>
      <c r="C13" s="6" t="s">
        <v>27</v>
      </c>
      <c r="D13" s="6">
        <v>329</v>
      </c>
    </row>
    <row r="14" customHeight="1" spans="1:4">
      <c r="A14" s="6" t="s">
        <v>28</v>
      </c>
      <c r="B14" s="8" t="s">
        <v>29</v>
      </c>
      <c r="C14" s="6" t="s">
        <v>27</v>
      </c>
      <c r="D14" s="6">
        <v>293</v>
      </c>
    </row>
    <row r="15" customHeight="1" spans="1:4">
      <c r="A15" s="6" t="s">
        <v>30</v>
      </c>
      <c r="B15" s="8" t="s">
        <v>17</v>
      </c>
      <c r="C15" s="6" t="s">
        <v>13</v>
      </c>
      <c r="D15" s="6">
        <v>319</v>
      </c>
    </row>
    <row r="16" customHeight="1" spans="1:4">
      <c r="A16" s="6" t="s">
        <v>31</v>
      </c>
      <c r="B16" s="8" t="s">
        <v>17</v>
      </c>
      <c r="C16" s="6" t="s">
        <v>13</v>
      </c>
      <c r="D16" s="6">
        <v>319</v>
      </c>
    </row>
    <row r="17" customHeight="1" spans="1:4">
      <c r="A17" s="6" t="s">
        <v>32</v>
      </c>
      <c r="B17" s="8" t="s">
        <v>33</v>
      </c>
      <c r="C17" s="6" t="s">
        <v>34</v>
      </c>
      <c r="D17" s="6">
        <v>304</v>
      </c>
    </row>
    <row r="18" customHeight="1" spans="1:4">
      <c r="A18" s="6" t="s">
        <v>35</v>
      </c>
      <c r="B18" s="8" t="s">
        <v>33</v>
      </c>
      <c r="C18" s="6" t="s">
        <v>34</v>
      </c>
      <c r="D18" s="6">
        <v>308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tabSelected="1" topLeftCell="A9" workbookViewId="0">
      <selection activeCell="C24" sqref="C24"/>
    </sheetView>
  </sheetViews>
  <sheetFormatPr defaultColWidth="28.6730769230769" defaultRowHeight="36" customHeight="1" outlineLevelCol="4"/>
  <cols>
    <col min="1" max="16384" width="28.6730769230769" customWidth="1"/>
  </cols>
  <sheetData>
    <row r="1" customHeight="1" spans="1:5">
      <c r="A1" s="9" t="s">
        <v>7</v>
      </c>
      <c r="B1" s="9" t="s">
        <v>36</v>
      </c>
      <c r="C1" s="9" t="s">
        <v>37</v>
      </c>
      <c r="D1" s="9" t="s">
        <v>38</v>
      </c>
      <c r="E1" s="9" t="s">
        <v>39</v>
      </c>
    </row>
    <row r="2" customHeight="1" spans="1:5">
      <c r="A2" s="10" t="s">
        <v>11</v>
      </c>
      <c r="B2" s="11" t="s">
        <v>12</v>
      </c>
      <c r="C2" s="10" t="s">
        <v>40</v>
      </c>
      <c r="D2" s="10" t="s">
        <v>41</v>
      </c>
      <c r="E2" s="10" t="s">
        <v>42</v>
      </c>
    </row>
    <row r="3" customHeight="1" spans="1:5">
      <c r="A3" s="10" t="s">
        <v>14</v>
      </c>
      <c r="B3" s="11" t="s">
        <v>12</v>
      </c>
      <c r="C3" s="10" t="s">
        <v>40</v>
      </c>
      <c r="D3" s="10" t="s">
        <v>41</v>
      </c>
      <c r="E3" s="10" t="s">
        <v>42</v>
      </c>
    </row>
    <row r="4" customHeight="1" spans="1:5">
      <c r="A4" s="10" t="s">
        <v>15</v>
      </c>
      <c r="B4" s="11" t="s">
        <v>12</v>
      </c>
      <c r="C4" s="10" t="s">
        <v>40</v>
      </c>
      <c r="D4" s="10" t="s">
        <v>41</v>
      </c>
      <c r="E4" s="10" t="s">
        <v>42</v>
      </c>
    </row>
    <row r="5" customHeight="1" spans="1:5">
      <c r="A5" s="10" t="s">
        <v>25</v>
      </c>
      <c r="B5" s="11" t="s">
        <v>43</v>
      </c>
      <c r="C5" s="10" t="s">
        <v>40</v>
      </c>
      <c r="D5" s="10" t="s">
        <v>44</v>
      </c>
      <c r="E5" s="10" t="s">
        <v>42</v>
      </c>
    </row>
    <row r="6" customHeight="1" spans="1:5">
      <c r="A6" s="10" t="s">
        <v>16</v>
      </c>
      <c r="B6" s="11" t="s">
        <v>17</v>
      </c>
      <c r="C6" s="10" t="s">
        <v>45</v>
      </c>
      <c r="D6" s="10" t="s">
        <v>13</v>
      </c>
      <c r="E6" s="10" t="s">
        <v>42</v>
      </c>
    </row>
    <row r="7" customHeight="1" spans="1:5">
      <c r="A7" s="10" t="s">
        <v>18</v>
      </c>
      <c r="B7" s="11" t="s">
        <v>17</v>
      </c>
      <c r="C7" s="10" t="s">
        <v>45</v>
      </c>
      <c r="D7" s="10" t="s">
        <v>13</v>
      </c>
      <c r="E7" s="10" t="s">
        <v>42</v>
      </c>
    </row>
    <row r="8" customHeight="1" spans="1:5">
      <c r="A8" s="10" t="s">
        <v>19</v>
      </c>
      <c r="B8" s="11" t="s">
        <v>17</v>
      </c>
      <c r="C8" s="10" t="s">
        <v>45</v>
      </c>
      <c r="D8" s="10" t="s">
        <v>13</v>
      </c>
      <c r="E8" s="10" t="s">
        <v>42</v>
      </c>
    </row>
    <row r="9" customHeight="1" spans="1:5">
      <c r="A9" s="10" t="s">
        <v>20</v>
      </c>
      <c r="B9" s="11" t="s">
        <v>17</v>
      </c>
      <c r="C9" s="10" t="s">
        <v>45</v>
      </c>
      <c r="D9" s="10" t="s">
        <v>13</v>
      </c>
      <c r="E9" s="10" t="s">
        <v>42</v>
      </c>
    </row>
    <row r="10" customHeight="1" spans="1:5">
      <c r="A10" s="10" t="s">
        <v>21</v>
      </c>
      <c r="B10" s="11" t="s">
        <v>17</v>
      </c>
      <c r="C10" s="10" t="s">
        <v>45</v>
      </c>
      <c r="D10" s="10" t="s">
        <v>13</v>
      </c>
      <c r="E10" s="10" t="s">
        <v>42</v>
      </c>
    </row>
    <row r="11" customHeight="1" spans="1:5">
      <c r="A11" s="10" t="s">
        <v>22</v>
      </c>
      <c r="B11" s="11" t="s">
        <v>17</v>
      </c>
      <c r="C11" s="10" t="s">
        <v>45</v>
      </c>
      <c r="D11" s="10" t="s">
        <v>13</v>
      </c>
      <c r="E11" s="10" t="s">
        <v>42</v>
      </c>
    </row>
    <row r="12" customHeight="1" spans="1:5">
      <c r="A12" s="10" t="s">
        <v>23</v>
      </c>
      <c r="B12" s="11" t="s">
        <v>17</v>
      </c>
      <c r="C12" s="10" t="s">
        <v>45</v>
      </c>
      <c r="D12" s="10" t="s">
        <v>13</v>
      </c>
      <c r="E12" s="10" t="s">
        <v>42</v>
      </c>
    </row>
    <row r="13" customHeight="1" spans="1:5">
      <c r="A13" s="10" t="s">
        <v>24</v>
      </c>
      <c r="B13" s="11" t="s">
        <v>17</v>
      </c>
      <c r="C13" s="10" t="s">
        <v>45</v>
      </c>
      <c r="D13" s="10" t="s">
        <v>13</v>
      </c>
      <c r="E13" s="10" t="s">
        <v>42</v>
      </c>
    </row>
    <row r="14" customHeight="1" spans="1:5">
      <c r="A14" s="10" t="s">
        <v>28</v>
      </c>
      <c r="B14" s="11" t="s">
        <v>46</v>
      </c>
      <c r="C14" s="10" t="s">
        <v>45</v>
      </c>
      <c r="D14" s="10" t="s">
        <v>13</v>
      </c>
      <c r="E14" s="10" t="s">
        <v>42</v>
      </c>
    </row>
    <row r="15" customHeight="1" spans="1:5">
      <c r="A15" s="10" t="s">
        <v>30</v>
      </c>
      <c r="B15" s="11" t="s">
        <v>17</v>
      </c>
      <c r="C15" s="10" t="s">
        <v>45</v>
      </c>
      <c r="D15" s="10" t="s">
        <v>13</v>
      </c>
      <c r="E15" s="10" t="s">
        <v>42</v>
      </c>
    </row>
    <row r="16" customHeight="1" spans="1:5">
      <c r="A16" s="10" t="s">
        <v>31</v>
      </c>
      <c r="B16" s="11" t="s">
        <v>17</v>
      </c>
      <c r="C16" s="10" t="s">
        <v>45</v>
      </c>
      <c r="D16" s="10" t="s">
        <v>13</v>
      </c>
      <c r="E16" s="10" t="s">
        <v>42</v>
      </c>
    </row>
    <row r="17" customHeight="1" spans="1:5">
      <c r="A17" s="10" t="s">
        <v>32</v>
      </c>
      <c r="B17" s="11" t="s">
        <v>47</v>
      </c>
      <c r="C17" s="10" t="s">
        <v>45</v>
      </c>
      <c r="D17" s="10" t="s">
        <v>13</v>
      </c>
      <c r="E17" s="10" t="s">
        <v>42</v>
      </c>
    </row>
    <row r="18" customHeight="1" spans="1:5">
      <c r="A18" s="10" t="s">
        <v>35</v>
      </c>
      <c r="B18" s="11" t="s">
        <v>47</v>
      </c>
      <c r="C18" s="10" t="s">
        <v>45</v>
      </c>
      <c r="D18" s="10" t="s">
        <v>13</v>
      </c>
      <c r="E18" s="10" t="s">
        <v>42</v>
      </c>
    </row>
    <row r="19" customHeight="1" spans="1:5">
      <c r="A19" s="12" t="s">
        <v>48</v>
      </c>
      <c r="B19" s="13"/>
      <c r="C19" s="13"/>
      <c r="D19" s="13"/>
      <c r="E19" s="13"/>
    </row>
    <row r="20" customHeight="1" spans="1:5">
      <c r="A20" s="9" t="s">
        <v>36</v>
      </c>
      <c r="B20" s="9" t="s">
        <v>49</v>
      </c>
      <c r="C20" s="13"/>
      <c r="D20" s="13"/>
      <c r="E20" s="13"/>
    </row>
    <row r="21" customHeight="1" spans="1:5">
      <c r="A21" s="11" t="s">
        <v>12</v>
      </c>
      <c r="B21" s="14" t="s">
        <v>50</v>
      </c>
      <c r="C21" s="13"/>
      <c r="D21" s="13"/>
      <c r="E21" s="13"/>
    </row>
    <row r="22" customHeight="1" spans="1:5">
      <c r="A22" s="11" t="s">
        <v>17</v>
      </c>
      <c r="B22" s="10" t="s">
        <v>51</v>
      </c>
      <c r="C22" s="13"/>
      <c r="D22" s="13"/>
      <c r="E22" s="13"/>
    </row>
    <row r="23" customHeight="1" spans="1:5">
      <c r="A23" s="11" t="s">
        <v>52</v>
      </c>
      <c r="B23" s="14" t="s">
        <v>53</v>
      </c>
      <c r="C23" s="13"/>
      <c r="D23" s="13"/>
      <c r="E23" s="13"/>
    </row>
    <row r="24" customHeight="1" spans="1:5">
      <c r="A24" s="11" t="s">
        <v>54</v>
      </c>
      <c r="B24" s="10" t="s">
        <v>55</v>
      </c>
      <c r="C24" s="13"/>
      <c r="D24" s="13"/>
      <c r="E24" s="13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B8" sqref="B8"/>
    </sheetView>
  </sheetViews>
  <sheetFormatPr defaultColWidth="20.3461538461538" defaultRowHeight="28" customHeight="1" outlineLevelRow="3" outlineLevelCol="4"/>
  <cols>
    <col min="1" max="16384" width="20.3461538461538" customWidth="1"/>
  </cols>
  <sheetData>
    <row r="1" customHeight="1" spans="1:5">
      <c r="A1" s="5" t="s">
        <v>56</v>
      </c>
      <c r="B1" s="5" t="s">
        <v>57</v>
      </c>
      <c r="C1" s="5" t="s">
        <v>58</v>
      </c>
      <c r="D1" s="5" t="s">
        <v>59</v>
      </c>
      <c r="E1" s="5" t="s">
        <v>60</v>
      </c>
    </row>
    <row r="2" customHeight="1" spans="1:5">
      <c r="A2" s="6" t="s">
        <v>61</v>
      </c>
      <c r="B2" s="6" t="s">
        <v>11</v>
      </c>
      <c r="C2" s="6" t="s">
        <v>62</v>
      </c>
      <c r="D2" s="6" t="s">
        <v>63</v>
      </c>
      <c r="E2" s="6" t="s">
        <v>63</v>
      </c>
    </row>
    <row r="3" customHeight="1" spans="1:5">
      <c r="A3" s="6" t="s">
        <v>64</v>
      </c>
      <c r="B3" s="6" t="s">
        <v>65</v>
      </c>
      <c r="C3" s="6" t="s">
        <v>66</v>
      </c>
      <c r="D3" s="6" t="s">
        <v>63</v>
      </c>
      <c r="E3" s="6" t="s">
        <v>63</v>
      </c>
    </row>
    <row r="4" customHeight="1" spans="1:5">
      <c r="A4" s="6" t="s">
        <v>67</v>
      </c>
      <c r="B4" s="6" t="s">
        <v>68</v>
      </c>
      <c r="C4" s="6" t="s">
        <v>69</v>
      </c>
      <c r="D4" s="6" t="s">
        <v>70</v>
      </c>
      <c r="E4" s="6" t="s">
        <v>71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C14" sqref="C14"/>
    </sheetView>
  </sheetViews>
  <sheetFormatPr defaultColWidth="32.0384615384615" defaultRowHeight="54" customHeight="1" outlineLevelCol="1"/>
  <cols>
    <col min="1" max="16384" width="32.0384615384615" customWidth="1"/>
  </cols>
  <sheetData>
    <row r="1" customHeight="1" spans="1:2">
      <c r="A1" s="5" t="s">
        <v>72</v>
      </c>
      <c r="B1" s="5" t="s">
        <v>73</v>
      </c>
    </row>
    <row r="2" customHeight="1" spans="1:2">
      <c r="A2" s="6" t="s">
        <v>74</v>
      </c>
      <c r="B2" s="6" t="s">
        <v>75</v>
      </c>
    </row>
    <row r="3" customHeight="1" spans="1:2">
      <c r="A3" s="6" t="s">
        <v>76</v>
      </c>
      <c r="B3" s="6" t="s">
        <v>77</v>
      </c>
    </row>
    <row r="4" customHeight="1" spans="1:2">
      <c r="A4" s="6" t="s">
        <v>78</v>
      </c>
      <c r="B4" s="6">
        <v>441</v>
      </c>
    </row>
    <row r="5" customHeight="1" spans="1:2">
      <c r="A5" s="6" t="s">
        <v>79</v>
      </c>
      <c r="B5" s="6" t="s">
        <v>80</v>
      </c>
    </row>
    <row r="6" customHeight="1" spans="1:2">
      <c r="A6" s="6" t="s">
        <v>81</v>
      </c>
      <c r="B6" s="6">
        <v>0.00052</v>
      </c>
    </row>
    <row r="7" customHeight="1" spans="1:2">
      <c r="A7" s="6" t="s">
        <v>82</v>
      </c>
      <c r="B7" s="6" t="s">
        <v>83</v>
      </c>
    </row>
    <row r="8" customHeight="1" spans="1:2">
      <c r="A8" s="6" t="s">
        <v>84</v>
      </c>
      <c r="B8" s="6">
        <v>4</v>
      </c>
    </row>
    <row r="9" customHeight="1" spans="1:2">
      <c r="A9" s="6" t="s">
        <v>85</v>
      </c>
      <c r="B9" s="6" t="s">
        <v>86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workbookViewId="0">
      <selection activeCell="E21" sqref="E21"/>
    </sheetView>
  </sheetViews>
  <sheetFormatPr defaultColWidth="29.6442307692308" defaultRowHeight="35" customHeight="1" outlineLevelCol="6"/>
  <cols>
    <col min="1" max="16384" width="29.6442307692308" customWidth="1"/>
  </cols>
  <sheetData>
    <row r="1" customHeight="1" spans="1:7">
      <c r="A1" s="5" t="s">
        <v>7</v>
      </c>
      <c r="B1" s="5" t="s">
        <v>87</v>
      </c>
      <c r="C1" s="5" t="s">
        <v>88</v>
      </c>
      <c r="D1" s="5" t="s">
        <v>89</v>
      </c>
      <c r="E1" s="5" t="s">
        <v>90</v>
      </c>
      <c r="F1" s="5" t="s">
        <v>91</v>
      </c>
      <c r="G1" s="5" t="s">
        <v>92</v>
      </c>
    </row>
    <row r="2" customHeight="1" spans="1:7">
      <c r="A2" s="6" t="s">
        <v>11</v>
      </c>
      <c r="B2" s="6" t="s">
        <v>93</v>
      </c>
      <c r="C2" s="6" t="s">
        <v>94</v>
      </c>
      <c r="D2" s="6" t="s">
        <v>95</v>
      </c>
      <c r="E2" s="6" t="s">
        <v>96</v>
      </c>
      <c r="F2" s="6" t="s">
        <v>97</v>
      </c>
      <c r="G2" s="8" t="s">
        <v>98</v>
      </c>
    </row>
    <row r="3" customHeight="1" spans="1:7">
      <c r="A3" s="6" t="s">
        <v>14</v>
      </c>
      <c r="B3" s="6" t="s">
        <v>93</v>
      </c>
      <c r="C3" s="6" t="s">
        <v>94</v>
      </c>
      <c r="D3" s="6" t="s">
        <v>95</v>
      </c>
      <c r="E3" s="6" t="s">
        <v>96</v>
      </c>
      <c r="F3" s="6" t="s">
        <v>97</v>
      </c>
      <c r="G3" s="8" t="s">
        <v>98</v>
      </c>
    </row>
    <row r="4" customHeight="1" spans="1:7">
      <c r="A4" s="6" t="s">
        <v>15</v>
      </c>
      <c r="B4" s="6" t="s">
        <v>93</v>
      </c>
      <c r="C4" s="6" t="s">
        <v>94</v>
      </c>
      <c r="D4" s="6" t="s">
        <v>95</v>
      </c>
      <c r="E4" s="6" t="s">
        <v>96</v>
      </c>
      <c r="F4" s="6" t="s">
        <v>97</v>
      </c>
      <c r="G4" s="8" t="s">
        <v>98</v>
      </c>
    </row>
    <row r="5" customHeight="1" spans="1:7">
      <c r="A5" s="6" t="s">
        <v>16</v>
      </c>
      <c r="B5" s="6" t="s">
        <v>99</v>
      </c>
      <c r="C5" s="6" t="s">
        <v>100</v>
      </c>
      <c r="D5" s="6" t="s">
        <v>99</v>
      </c>
      <c r="E5" s="6" t="s">
        <v>101</v>
      </c>
      <c r="F5" s="6" t="s">
        <v>102</v>
      </c>
      <c r="G5" s="8" t="s">
        <v>103</v>
      </c>
    </row>
    <row r="6" customHeight="1" spans="1:7">
      <c r="A6" s="6" t="s">
        <v>18</v>
      </c>
      <c r="B6" s="6" t="s">
        <v>99</v>
      </c>
      <c r="C6" s="6" t="s">
        <v>100</v>
      </c>
      <c r="D6" s="6" t="s">
        <v>99</v>
      </c>
      <c r="E6" s="6" t="s">
        <v>101</v>
      </c>
      <c r="F6" s="6" t="s">
        <v>102</v>
      </c>
      <c r="G6" s="8" t="s">
        <v>103</v>
      </c>
    </row>
    <row r="7" customHeight="1" spans="1:7">
      <c r="A7" s="6" t="s">
        <v>19</v>
      </c>
      <c r="B7" s="6" t="s">
        <v>99</v>
      </c>
      <c r="C7" s="6" t="s">
        <v>104</v>
      </c>
      <c r="D7" s="6" t="s">
        <v>99</v>
      </c>
      <c r="E7" s="6" t="s">
        <v>105</v>
      </c>
      <c r="F7" s="6" t="s">
        <v>106</v>
      </c>
      <c r="G7" s="8" t="s">
        <v>103</v>
      </c>
    </row>
    <row r="8" customHeight="1" spans="1:7">
      <c r="A8" s="6" t="s">
        <v>20</v>
      </c>
      <c r="B8" s="6" t="s">
        <v>99</v>
      </c>
      <c r="C8" s="6" t="s">
        <v>104</v>
      </c>
      <c r="D8" s="6" t="s">
        <v>99</v>
      </c>
      <c r="E8" s="6" t="s">
        <v>105</v>
      </c>
      <c r="F8" s="6" t="s">
        <v>106</v>
      </c>
      <c r="G8" s="8" t="s">
        <v>103</v>
      </c>
    </row>
    <row r="9" customHeight="1" spans="1:7">
      <c r="A9" s="6" t="s">
        <v>30</v>
      </c>
      <c r="B9" s="6" t="s">
        <v>99</v>
      </c>
      <c r="C9" s="6" t="s">
        <v>100</v>
      </c>
      <c r="D9" s="6" t="s">
        <v>99</v>
      </c>
      <c r="E9" s="6" t="s">
        <v>101</v>
      </c>
      <c r="F9" s="6" t="s">
        <v>102</v>
      </c>
      <c r="G9" s="8" t="s">
        <v>103</v>
      </c>
    </row>
    <row r="10" customHeight="1" spans="1:7">
      <c r="A10" s="6" t="s">
        <v>21</v>
      </c>
      <c r="B10" s="6" t="s">
        <v>99</v>
      </c>
      <c r="C10" s="6" t="s">
        <v>100</v>
      </c>
      <c r="D10" s="6" t="s">
        <v>99</v>
      </c>
      <c r="E10" s="6" t="s">
        <v>101</v>
      </c>
      <c r="F10" s="6" t="s">
        <v>102</v>
      </c>
      <c r="G10" s="8" t="s">
        <v>103</v>
      </c>
    </row>
    <row r="11" customHeight="1" spans="1:7">
      <c r="A11" s="6" t="s">
        <v>31</v>
      </c>
      <c r="B11" s="6" t="s">
        <v>99</v>
      </c>
      <c r="C11" s="6" t="s">
        <v>100</v>
      </c>
      <c r="D11" s="6" t="s">
        <v>99</v>
      </c>
      <c r="E11" s="6" t="s">
        <v>101</v>
      </c>
      <c r="F11" s="6" t="s">
        <v>102</v>
      </c>
      <c r="G11" s="8" t="s">
        <v>103</v>
      </c>
    </row>
    <row r="12" customHeight="1" spans="1:7">
      <c r="A12" s="6" t="s">
        <v>22</v>
      </c>
      <c r="B12" s="6" t="s">
        <v>99</v>
      </c>
      <c r="C12" s="6" t="s">
        <v>100</v>
      </c>
      <c r="D12" s="6" t="s">
        <v>99</v>
      </c>
      <c r="E12" s="6" t="s">
        <v>101</v>
      </c>
      <c r="F12" s="6" t="s">
        <v>102</v>
      </c>
      <c r="G12" s="8" t="s">
        <v>103</v>
      </c>
    </row>
    <row r="13" customHeight="1" spans="1:7">
      <c r="A13" s="6" t="s">
        <v>23</v>
      </c>
      <c r="B13" s="6" t="s">
        <v>99</v>
      </c>
      <c r="C13" s="6" t="s">
        <v>100</v>
      </c>
      <c r="D13" s="6" t="s">
        <v>99</v>
      </c>
      <c r="E13" s="6" t="s">
        <v>101</v>
      </c>
      <c r="F13" s="6" t="s">
        <v>102</v>
      </c>
      <c r="G13" s="8" t="s">
        <v>103</v>
      </c>
    </row>
    <row r="14" customHeight="1" spans="1:7">
      <c r="A14" s="6" t="s">
        <v>24</v>
      </c>
      <c r="B14" s="6" t="s">
        <v>107</v>
      </c>
      <c r="C14" s="6" t="s">
        <v>94</v>
      </c>
      <c r="D14" s="6" t="s">
        <v>95</v>
      </c>
      <c r="E14" s="6" t="s">
        <v>104</v>
      </c>
      <c r="F14" s="6" t="s">
        <v>97</v>
      </c>
      <c r="G14" s="8" t="s">
        <v>103</v>
      </c>
    </row>
    <row r="15" customHeight="1" spans="1:7">
      <c r="A15" s="6" t="s">
        <v>25</v>
      </c>
      <c r="B15" s="6" t="s">
        <v>100</v>
      </c>
      <c r="C15" s="6" t="s">
        <v>94</v>
      </c>
      <c r="D15" s="6" t="s">
        <v>95</v>
      </c>
      <c r="E15" s="6" t="s">
        <v>108</v>
      </c>
      <c r="F15" s="6" t="s">
        <v>97</v>
      </c>
      <c r="G15" s="8" t="s">
        <v>109</v>
      </c>
    </row>
    <row r="16" customHeight="1" spans="1:7">
      <c r="A16" s="6" t="s">
        <v>28</v>
      </c>
      <c r="B16" s="6" t="s">
        <v>99</v>
      </c>
      <c r="C16" s="6" t="s">
        <v>104</v>
      </c>
      <c r="D16" s="6" t="s">
        <v>95</v>
      </c>
      <c r="E16" s="6" t="s">
        <v>96</v>
      </c>
      <c r="F16" s="6" t="s">
        <v>102</v>
      </c>
      <c r="G16" s="8" t="s">
        <v>110</v>
      </c>
    </row>
    <row r="17" customHeight="1" spans="1:7">
      <c r="A17" s="6" t="s">
        <v>32</v>
      </c>
      <c r="B17" s="6" t="s">
        <v>99</v>
      </c>
      <c r="C17" s="6" t="s">
        <v>100</v>
      </c>
      <c r="D17" s="6" t="s">
        <v>99</v>
      </c>
      <c r="E17" s="6" t="s">
        <v>95</v>
      </c>
      <c r="F17" s="6" t="s">
        <v>100</v>
      </c>
      <c r="G17" s="8" t="s">
        <v>111</v>
      </c>
    </row>
    <row r="18" customHeight="1" spans="1:7">
      <c r="A18" s="6" t="s">
        <v>35</v>
      </c>
      <c r="B18" s="6" t="s">
        <v>99</v>
      </c>
      <c r="C18" s="6" t="s">
        <v>100</v>
      </c>
      <c r="D18" s="6" t="s">
        <v>99</v>
      </c>
      <c r="E18" s="6" t="s">
        <v>112</v>
      </c>
      <c r="F18" s="6" t="s">
        <v>106</v>
      </c>
      <c r="G18" s="8" t="s">
        <v>111</v>
      </c>
    </row>
    <row r="19" customHeight="1" spans="1:7">
      <c r="A19" s="6" t="s">
        <v>113</v>
      </c>
      <c r="B19" s="6" t="s">
        <v>99</v>
      </c>
      <c r="C19" s="6" t="s">
        <v>114</v>
      </c>
      <c r="D19" s="6" t="s">
        <v>95</v>
      </c>
      <c r="E19" s="6" t="s">
        <v>102</v>
      </c>
      <c r="F19" s="6" t="s">
        <v>115</v>
      </c>
      <c r="G19" s="6" t="s">
        <v>116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D13" sqref="D13"/>
    </sheetView>
  </sheetViews>
  <sheetFormatPr defaultColWidth="31.7211538461538" defaultRowHeight="44" customHeight="1" outlineLevelRow="6" outlineLevelCol="1"/>
  <cols>
    <col min="1" max="16384" width="31.7211538461538" customWidth="1"/>
  </cols>
  <sheetData>
    <row r="1" customHeight="1" spans="1:2">
      <c r="A1" s="5" t="s">
        <v>72</v>
      </c>
      <c r="B1" s="5" t="s">
        <v>73</v>
      </c>
    </row>
    <row r="2" customHeight="1" spans="1:2">
      <c r="A2" s="6" t="s">
        <v>117</v>
      </c>
      <c r="B2" s="6">
        <v>549</v>
      </c>
    </row>
    <row r="3" customHeight="1" spans="1:2">
      <c r="A3" s="6" t="s">
        <v>118</v>
      </c>
      <c r="B3" s="7">
        <v>11375</v>
      </c>
    </row>
    <row r="4" customHeight="1" spans="1:2">
      <c r="A4" s="6" t="s">
        <v>119</v>
      </c>
      <c r="B4" s="6">
        <v>17</v>
      </c>
    </row>
    <row r="5" customHeight="1" spans="1:2">
      <c r="A5" s="6" t="s">
        <v>120</v>
      </c>
      <c r="B5" s="6" t="s">
        <v>121</v>
      </c>
    </row>
    <row r="6" customHeight="1" spans="1:2">
      <c r="A6" s="6" t="s">
        <v>122</v>
      </c>
      <c r="B6" s="6" t="s">
        <v>123</v>
      </c>
    </row>
    <row r="7" customHeight="1" spans="1:2">
      <c r="A7" s="6" t="s">
        <v>124</v>
      </c>
      <c r="B7" s="6" t="s">
        <v>125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workbookViewId="0">
      <selection activeCell="C12" sqref="C12"/>
    </sheetView>
  </sheetViews>
  <sheetFormatPr defaultColWidth="68.2692307692308" defaultRowHeight="87" customHeight="1" outlineLevelCol="5"/>
  <cols>
    <col min="1" max="16384" width="68.2692307692308" style="1" customWidth="1"/>
  </cols>
  <sheetData>
    <row r="1" customHeight="1" spans="1:5">
      <c r="A1" s="2" t="s">
        <v>126</v>
      </c>
      <c r="B1" s="2" t="s">
        <v>127</v>
      </c>
      <c r="C1" s="2" t="s">
        <v>128</v>
      </c>
      <c r="D1" s="2" t="s">
        <v>129</v>
      </c>
      <c r="E1" s="3"/>
    </row>
    <row r="2" customHeight="1" spans="1:5">
      <c r="A2" s="2" t="s">
        <v>130</v>
      </c>
      <c r="B2" s="2" t="s">
        <v>131</v>
      </c>
      <c r="C2" s="2"/>
      <c r="D2" s="2" t="s">
        <v>132</v>
      </c>
      <c r="E2" s="3"/>
    </row>
    <row r="3" customHeight="1" spans="1:5">
      <c r="A3" s="2" t="s">
        <v>133</v>
      </c>
      <c r="B3" s="2" t="s">
        <v>134</v>
      </c>
      <c r="C3" s="2" t="s">
        <v>135</v>
      </c>
      <c r="D3" s="2" t="s">
        <v>136</v>
      </c>
      <c r="E3" s="3"/>
    </row>
    <row r="4" customHeight="1" spans="1:5">
      <c r="A4" s="2" t="s">
        <v>137</v>
      </c>
      <c r="B4" s="2" t="s">
        <v>138</v>
      </c>
      <c r="C4" s="2" t="s">
        <v>139</v>
      </c>
      <c r="D4" s="2" t="s">
        <v>140</v>
      </c>
      <c r="E4" s="3"/>
    </row>
    <row r="5" customHeight="1" spans="1:5">
      <c r="A5" s="2" t="s">
        <v>141</v>
      </c>
      <c r="B5" s="2" t="s">
        <v>142</v>
      </c>
      <c r="C5" s="2" t="s">
        <v>143</v>
      </c>
      <c r="D5" s="2" t="e">
        <f>-automated1</f>
        <v>#NAME?</v>
      </c>
      <c r="E5" s="3"/>
    </row>
    <row r="6" customHeight="1" spans="1:5">
      <c r="A6" s="2" t="s">
        <v>144</v>
      </c>
      <c r="B6" s="2" t="s">
        <v>145</v>
      </c>
      <c r="C6" s="2" t="s">
        <v>146</v>
      </c>
      <c r="D6" s="2" t="s">
        <v>147</v>
      </c>
      <c r="E6" s="3"/>
    </row>
    <row r="7" customHeight="1" spans="1:5">
      <c r="A7" s="2" t="s">
        <v>148</v>
      </c>
      <c r="B7" s="2" t="s">
        <v>149</v>
      </c>
      <c r="C7" s="2"/>
      <c r="D7" s="2" t="s">
        <v>150</v>
      </c>
      <c r="E7" s="3"/>
    </row>
    <row r="8" customHeight="1" spans="1:5">
      <c r="A8" s="2" t="s">
        <v>151</v>
      </c>
      <c r="B8" s="2" t="s">
        <v>152</v>
      </c>
      <c r="C8" s="2"/>
      <c r="D8" s="2" t="s">
        <v>153</v>
      </c>
      <c r="E8" s="3"/>
    </row>
    <row r="9" customHeight="1" spans="1:5">
      <c r="A9" s="2" t="s">
        <v>154</v>
      </c>
      <c r="B9" s="2" t="s">
        <v>155</v>
      </c>
      <c r="C9" s="2"/>
      <c r="D9" s="2" t="s">
        <v>156</v>
      </c>
      <c r="E9" s="3"/>
    </row>
    <row r="10" customHeight="1" spans="1:5">
      <c r="A10" s="2" t="s">
        <v>157</v>
      </c>
      <c r="B10" s="2" t="s">
        <v>158</v>
      </c>
      <c r="C10" s="2"/>
      <c r="D10" s="2" t="s">
        <v>159</v>
      </c>
      <c r="E10" s="3"/>
    </row>
    <row r="11" customHeight="1" spans="1:5">
      <c r="A11" s="2" t="s">
        <v>160</v>
      </c>
      <c r="B11" s="2" t="s">
        <v>161</v>
      </c>
      <c r="C11" s="2"/>
      <c r="D11" s="2" t="s">
        <v>162</v>
      </c>
      <c r="E11" s="3"/>
    </row>
    <row r="12" customHeight="1" spans="1:5">
      <c r="A12" s="2" t="s">
        <v>163</v>
      </c>
      <c r="B12" s="2" t="s">
        <v>164</v>
      </c>
      <c r="C12" s="2" t="s">
        <v>165</v>
      </c>
      <c r="D12" s="2" t="s">
        <v>166</v>
      </c>
      <c r="E12" s="3"/>
    </row>
    <row r="13" customHeight="1" spans="1:5">
      <c r="A13" s="2" t="s">
        <v>167</v>
      </c>
      <c r="B13" s="2" t="s">
        <v>168</v>
      </c>
      <c r="C13" s="2" t="s">
        <v>169</v>
      </c>
      <c r="D13" s="2" t="s">
        <v>170</v>
      </c>
      <c r="E13" s="3"/>
    </row>
    <row r="14" customHeight="1" spans="1:5">
      <c r="A14" s="2" t="s">
        <v>171</v>
      </c>
      <c r="B14" s="2" t="s">
        <v>172</v>
      </c>
      <c r="C14" s="2" t="s">
        <v>169</v>
      </c>
      <c r="D14" s="2" t="s">
        <v>173</v>
      </c>
      <c r="E14" s="3"/>
    </row>
    <row r="15" customHeight="1" spans="1:5">
      <c r="A15" s="2" t="s">
        <v>174</v>
      </c>
      <c r="B15" s="2" t="s">
        <v>175</v>
      </c>
      <c r="C15" s="2" t="s">
        <v>176</v>
      </c>
      <c r="D15" s="2" t="s">
        <v>177</v>
      </c>
      <c r="E15" s="3"/>
    </row>
    <row r="16" customHeight="1" spans="1:5">
      <c r="A16" s="2" t="s">
        <v>178</v>
      </c>
      <c r="B16" s="2" t="s">
        <v>179</v>
      </c>
      <c r="C16" s="2"/>
      <c r="D16" s="2" t="s">
        <v>180</v>
      </c>
      <c r="E16" s="3"/>
    </row>
    <row r="17" customHeight="1" spans="1:6">
      <c r="A17" s="2" t="s">
        <v>181</v>
      </c>
      <c r="B17" s="2" t="s">
        <v>182</v>
      </c>
      <c r="C17" s="2"/>
      <c r="D17" s="2" t="s">
        <v>183</v>
      </c>
      <c r="E17" s="3"/>
    </row>
    <row r="18" customHeight="1" spans="1:6">
      <c r="A18" s="3"/>
      <c r="B18" s="3"/>
      <c r="C18" s="3"/>
      <c r="D18" s="3"/>
      <c r="E18" s="3"/>
      <c r="F18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数据集构成统计表</vt:lpstr>
      <vt:lpstr>鞭毛虫序列详细列表</vt:lpstr>
      <vt:lpstr>信号肽预测结果</vt:lpstr>
      <vt:lpstr>结构域架构比较</vt:lpstr>
      <vt:lpstr>BUSTED 选择压力分析结果</vt:lpstr>
      <vt:lpstr>正选择位点氨基酸分布矩阵</vt:lpstr>
      <vt:lpstr>序列相似性网络统计</vt:lpstr>
      <vt:lpstr>软件与参数汇总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kamikiritsu</dc:creator>
  <cp:lastModifiedBy>猫猫泪</cp:lastModifiedBy>
  <dcterms:created xsi:type="dcterms:W3CDTF">2026-04-22T13:43:05Z</dcterms:created>
  <dcterms:modified xsi:type="dcterms:W3CDTF">2026-04-22T15:22:51Z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C1258705AC660B8AE95FE8698A3B0A28_41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